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jbes\OneDrive\Desktop\Project Analysis\"/>
    </mc:Choice>
  </mc:AlternateContent>
  <xr:revisionPtr revIDLastSave="0" documentId="8_{1C31AF83-18EA-4F22-A653-C05ADB97B75C}" xr6:coauthVersionLast="47" xr6:coauthVersionMax="47" xr10:uidLastSave="{00000000-0000-0000-0000-000000000000}"/>
  <bookViews>
    <workbookView minimized="1" xWindow="1170" yWindow="1170" windowWidth="15375" windowHeight="7875" xr2:uid="{2F71B5AF-A09D-4A8F-9ED4-3298EDDD44A9}"/>
    <workbookView xWindow="-120" yWindow="-120" windowWidth="20730" windowHeight="11160" xr2:uid="{5D25D954-1440-444E-8776-ED7625482B66}"/>
  </bookViews>
  <sheets>
    <sheet name="Finance(O &amp; C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2" l="1"/>
  <c r="G49" i="2"/>
  <c r="G37" i="2"/>
  <c r="G38" i="2"/>
  <c r="G25" i="2"/>
  <c r="G26" i="2"/>
  <c r="G27" i="2"/>
  <c r="G28" i="2"/>
  <c r="G29" i="2"/>
  <c r="G30" i="2"/>
  <c r="G13" i="2"/>
  <c r="G14" i="2"/>
  <c r="G15" i="2"/>
  <c r="G16" i="2"/>
  <c r="G17" i="2"/>
  <c r="G18" i="2"/>
  <c r="G48" i="2"/>
  <c r="G36" i="2"/>
  <c r="G24" i="2"/>
  <c r="G12" i="2"/>
  <c r="F49" i="2"/>
  <c r="F37" i="2"/>
  <c r="F38" i="2"/>
  <c r="F25" i="2"/>
  <c r="F26" i="2"/>
  <c r="F27" i="2"/>
  <c r="F28" i="2"/>
  <c r="F29" i="2"/>
  <c r="F30" i="2"/>
  <c r="F13" i="2"/>
  <c r="F14" i="2"/>
  <c r="F15" i="2"/>
  <c r="F16" i="2"/>
  <c r="F17" i="2"/>
  <c r="F18" i="2"/>
  <c r="F48" i="2"/>
  <c r="F36" i="2"/>
  <c r="F12" i="2"/>
  <c r="F24" i="2"/>
  <c r="B56" i="2"/>
  <c r="C48" i="2"/>
  <c r="C49" i="2"/>
  <c r="D48" i="2"/>
  <c r="D49" i="2"/>
  <c r="E48" i="2"/>
  <c r="E49" i="2"/>
  <c r="E37" i="2"/>
  <c r="E38" i="2"/>
  <c r="E25" i="2"/>
  <c r="E26" i="2"/>
  <c r="E27" i="2"/>
  <c r="E28" i="2"/>
  <c r="E29" i="2"/>
  <c r="E30" i="2"/>
  <c r="E13" i="2"/>
  <c r="E14" i="2"/>
  <c r="E15" i="2"/>
  <c r="E16" i="2"/>
  <c r="E17" i="2"/>
  <c r="E18" i="2"/>
  <c r="E36" i="2"/>
  <c r="E24" i="2"/>
  <c r="E12" i="2"/>
  <c r="D37" i="2"/>
  <c r="D38" i="2"/>
  <c r="D25" i="2"/>
  <c r="D26" i="2"/>
  <c r="D27" i="2"/>
  <c r="D28" i="2"/>
  <c r="D29" i="2"/>
  <c r="D30" i="2"/>
  <c r="D13" i="2"/>
  <c r="D14" i="2"/>
  <c r="D15" i="2"/>
  <c r="D16" i="2"/>
  <c r="D17" i="2"/>
  <c r="D18" i="2"/>
  <c r="D36" i="2"/>
  <c r="D24" i="2"/>
  <c r="D12" i="2"/>
  <c r="C37" i="2"/>
  <c r="C38" i="2"/>
  <c r="C25" i="2"/>
  <c r="C26" i="2"/>
  <c r="C27" i="2"/>
  <c r="C28" i="2"/>
  <c r="C29" i="2"/>
  <c r="C30" i="2"/>
  <c r="C13" i="2"/>
  <c r="C14" i="2"/>
  <c r="C15" i="2"/>
  <c r="C16" i="2"/>
  <c r="C17" i="2"/>
  <c r="C18" i="2"/>
  <c r="C36" i="2"/>
  <c r="C24" i="2"/>
  <c r="C12" i="2"/>
  <c r="B44" i="2"/>
  <c r="B32" i="2"/>
  <c r="K5" i="2"/>
  <c r="B20" i="2"/>
  <c r="G8" i="2"/>
  <c r="G6" i="2"/>
  <c r="G5" i="2"/>
  <c r="G4" i="2"/>
  <c r="D56" i="2" l="1"/>
  <c r="E56" i="2"/>
  <c r="C56" i="2"/>
  <c r="G56" i="2"/>
  <c r="F56" i="2"/>
  <c r="D44" i="2"/>
  <c r="E44" i="2"/>
  <c r="F44" i="2"/>
  <c r="C44" i="2"/>
  <c r="G44" i="2"/>
  <c r="K8" i="2"/>
  <c r="D20" i="2" l="1"/>
  <c r="C32" i="2"/>
  <c r="C20" i="2"/>
  <c r="D32" i="2"/>
  <c r="E32" i="2" l="1"/>
  <c r="E20" i="2" l="1"/>
  <c r="F20" i="2" l="1"/>
  <c r="F32" i="2"/>
  <c r="G20" i="2" l="1"/>
  <c r="G32" i="2"/>
</calcChain>
</file>

<file path=xl/sharedStrings.xml><?xml version="1.0" encoding="utf-8"?>
<sst xmlns="http://schemas.openxmlformats.org/spreadsheetml/2006/main" count="108" uniqueCount="50">
  <si>
    <t>Size:</t>
  </si>
  <si>
    <t>Price:</t>
  </si>
  <si>
    <t>50ml</t>
  </si>
  <si>
    <t>100ml</t>
  </si>
  <si>
    <t>Roses of color</t>
  </si>
  <si>
    <t>Red roses</t>
  </si>
  <si>
    <t>Bridal bouquet</t>
  </si>
  <si>
    <t>Quantity</t>
  </si>
  <si>
    <t>Small</t>
  </si>
  <si>
    <t>Medium</t>
  </si>
  <si>
    <t>Large</t>
  </si>
  <si>
    <t>Plain</t>
  </si>
  <si>
    <t>Mixed</t>
  </si>
  <si>
    <t>Column1</t>
  </si>
  <si>
    <t>Column4</t>
  </si>
  <si>
    <t>30ml</t>
  </si>
  <si>
    <t>Red Roses</t>
  </si>
  <si>
    <t>Fragrance</t>
  </si>
  <si>
    <t>My Way</t>
  </si>
  <si>
    <t>Stock Up</t>
  </si>
  <si>
    <t>Range:</t>
  </si>
  <si>
    <t>3(Weeks)</t>
  </si>
  <si>
    <t>1(Month)</t>
  </si>
  <si>
    <t>2(Months)</t>
  </si>
  <si>
    <t>Column5</t>
  </si>
  <si>
    <t>Column6</t>
  </si>
  <si>
    <t>Column7</t>
  </si>
  <si>
    <t>Column8</t>
  </si>
  <si>
    <t>Column9</t>
  </si>
  <si>
    <t>Fragrance2</t>
  </si>
  <si>
    <t>Fragrance3</t>
  </si>
  <si>
    <t>Fragrance4</t>
  </si>
  <si>
    <t>Whole Product (30ml):</t>
  </si>
  <si>
    <t>Whole Product (50ml):</t>
  </si>
  <si>
    <t>Whole Product (100ml):</t>
  </si>
  <si>
    <t>Premium Range (100ml):</t>
  </si>
  <si>
    <t>Premium Range (50ml):</t>
  </si>
  <si>
    <t>Opearls Floral &amp; Events</t>
  </si>
  <si>
    <t>Premium Range</t>
  </si>
  <si>
    <t>Column10</t>
  </si>
  <si>
    <t>Column11</t>
  </si>
  <si>
    <t>Whole Sale</t>
  </si>
  <si>
    <t>Subtotal (Whole Sale Price x Stock Up)</t>
  </si>
  <si>
    <t>Subtotal (Premium Range Price x Stock Up)</t>
  </si>
  <si>
    <t>TOTAL:</t>
  </si>
  <si>
    <t>Garden bouguet2</t>
  </si>
  <si>
    <t>CleaPatra</t>
  </si>
  <si>
    <t>Quantity:</t>
  </si>
  <si>
    <t>Total Price:</t>
  </si>
  <si>
    <t>Fragrance5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</si>
</sst>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&quot;#,##0;[Red]\-&quot;R&quot;#,##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6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8" tint="0.79998168889431442"/>
      </patternFill>
    </fill>
    <fill>
      <patternFill patternType="solid">
        <fgColor theme="2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medium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6" fontId="0" fillId="0" borderId="0" xfId="0" applyNumberFormat="1"/>
    <xf numFmtId="0" fontId="1" fillId="0" borderId="0" xfId="0" applyFont="1"/>
    <xf numFmtId="0" fontId="2" fillId="0" borderId="0" xfId="0" applyFont="1"/>
    <xf numFmtId="0" fontId="0" fillId="2" borderId="2" xfId="0" applyFill="1" applyBorder="1"/>
    <xf numFmtId="0" fontId="0" fillId="0" borderId="2" xfId="0" applyBorder="1"/>
    <xf numFmtId="6" fontId="0" fillId="2" borderId="2" xfId="0" applyNumberFormat="1" applyFill="1" applyBorder="1"/>
    <xf numFmtId="6" fontId="0" fillId="0" borderId="2" xfId="0" applyNumberFormat="1" applyBorder="1"/>
    <xf numFmtId="0" fontId="4" fillId="4" borderId="0" xfId="0" applyFont="1" applyFill="1"/>
    <xf numFmtId="0" fontId="3" fillId="5" borderId="0" xfId="0" applyFont="1" applyFill="1"/>
    <xf numFmtId="0" fontId="3" fillId="5" borderId="3" xfId="0" applyFont="1" applyFill="1" applyBorder="1"/>
    <xf numFmtId="6" fontId="2" fillId="0" borderId="0" xfId="0" applyNumberFormat="1" applyFont="1"/>
    <xf numFmtId="0" fontId="2" fillId="6" borderId="1" xfId="0" applyFont="1" applyFill="1" applyBorder="1"/>
    <xf numFmtId="6" fontId="1" fillId="0" borderId="0" xfId="0" applyNumberFormat="1" applyFont="1"/>
    <xf numFmtId="6" fontId="3" fillId="5" borderId="0" xfId="0" applyNumberFormat="1" applyFont="1" applyFill="1"/>
    <xf numFmtId="6" fontId="0" fillId="0" borderId="4" xfId="0" applyNumberFormat="1" applyBorder="1"/>
    <xf numFmtId="6" fontId="0" fillId="3" borderId="4" xfId="0" applyNumberFormat="1" applyFill="1" applyBorder="1"/>
    <xf numFmtId="6" fontId="1" fillId="3" borderId="4" xfId="0" applyNumberFormat="1" applyFont="1" applyFill="1" applyBorder="1"/>
    <xf numFmtId="6" fontId="3" fillId="5" borderId="4" xfId="0" applyNumberFormat="1" applyFont="1" applyFill="1" applyBorder="1"/>
    <xf numFmtId="6" fontId="1" fillId="0" borderId="4" xfId="0" applyNumberFormat="1" applyFont="1" applyBorder="1"/>
    <xf numFmtId="6" fontId="0" fillId="7" borderId="4" xfId="0" applyNumberFormat="1" applyFill="1" applyBorder="1"/>
    <xf numFmtId="6" fontId="0" fillId="6" borderId="4" xfId="0" applyNumberFormat="1" applyFill="1" applyBorder="1"/>
    <xf numFmtId="6" fontId="0" fillId="8" borderId="0" xfId="0" applyNumberFormat="1" applyFill="1"/>
    <xf numFmtId="0" fontId="0" fillId="6" borderId="0" xfId="0" applyFill="1"/>
    <xf numFmtId="6" fontId="3" fillId="6" borderId="0" xfId="0" applyNumberFormat="1" applyFont="1" applyFill="1"/>
    <xf numFmtId="0" fontId="4" fillId="6" borderId="0" xfId="0" applyFont="1" applyFill="1"/>
    <xf numFmtId="6" fontId="6" fillId="0" borderId="0" xfId="0" applyNumberFormat="1" applyFont="1"/>
    <xf numFmtId="6" fontId="6" fillId="3" borderId="4" xfId="0" applyNumberFormat="1" applyFont="1" applyFill="1" applyBorder="1"/>
    <xf numFmtId="6" fontId="6" fillId="0" borderId="4" xfId="0" applyNumberFormat="1" applyFont="1" applyBorder="1"/>
    <xf numFmtId="0" fontId="6" fillId="0" borderId="0" xfId="0" applyFont="1"/>
    <xf numFmtId="6" fontId="6" fillId="7" borderId="4" xfId="0" applyNumberFormat="1" applyFont="1" applyFill="1" applyBorder="1"/>
    <xf numFmtId="6" fontId="6" fillId="7" borderId="5" xfId="0" applyNumberFormat="1" applyFont="1" applyFill="1" applyBorder="1"/>
  </cellXfs>
  <cellStyles count="1">
    <cellStyle name="Normal" xfId="0" builtinId="0"/>
  </cellStyles>
  <dxfs count="15">
    <dxf>
      <numFmt numFmtId="10" formatCode="&quot;R&quot;#,##0;[Red]\-&quot;R&quot;#,##0"/>
    </dxf>
    <dxf>
      <numFmt numFmtId="10" formatCode="&quot;R&quot;#,##0;[Red]\-&quot;R&quot;#,##0"/>
    </dxf>
    <dxf>
      <numFmt numFmtId="10" formatCode="&quot;R&quot;#,##0;[Red]\-&quot;R&quot;#,##0"/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6"/>
        </patternFill>
      </fill>
    </dxf>
    <dxf>
      <numFmt numFmtId="10" formatCode="&quot;R&quot;#,##0;[Red]\-&quot;R&quot;#,##0"/>
    </dxf>
    <dxf>
      <numFmt numFmtId="10" formatCode="&quot;R&quot;#,##0;[Red]\-&quot;R&quot;#,##0"/>
    </dxf>
    <dxf>
      <numFmt numFmtId="10" formatCode="&quot;R&quot;#,##0;[Red]\-&quot;R&quot;#,##0"/>
    </dxf>
    <dxf>
      <numFmt numFmtId="10" formatCode="&quot;R&quot;#,##0;[Red]\-&quot;R&quot;#,##0"/>
    </dxf>
    <dxf>
      <border diagonalUp="0" diagonalDown="0" outline="0">
        <left/>
        <right/>
        <top/>
        <bottom/>
      </border>
    </dxf>
    <dxf>
      <numFmt numFmtId="10" formatCode="&quot;R&quot;#,##0;[Red]\-&quot;R&quot;#,##0"/>
    </dxf>
    <dxf>
      <numFmt numFmtId="10" formatCode="&quot;R&quot;#,##0;[Red]\-&quot;R&quot;#,##0"/>
      <border diagonalUp="0" diagonalDown="0" outline="0">
        <left/>
        <right/>
        <top/>
        <bottom/>
      </border>
    </dxf>
    <dxf>
      <numFmt numFmtId="10" formatCode="&quot;R&quot;#,##0;[Red]\-&quot;R&quot;#,##0"/>
    </dxf>
    <dxf>
      <border diagonalUp="0" diagonalDown="0" outline="0">
        <left/>
        <right/>
        <top/>
        <bottom/>
      </border>
    </dxf>
    <dxf>
      <numFmt numFmtId="10" formatCode="&quot;R&quot;#,##0;[Red]\-&quot;R&quot;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111A60-0626-4298-91AE-EF291238BFE7}" name="Table62" displayName="Table62" ref="A10:G56" totalsRowShown="0" headerRowDxfId="14">
  <autoFilter ref="A10:G56" xr:uid="{AB111A60-0626-4298-91AE-EF291238BFE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1655EE13-5A26-4FA0-8793-9D8E002229F8}" name="Roses of color" dataDxfId="13" totalsRowDxfId="12"/>
    <tableColumn id="2" xr3:uid="{FF553EE8-1F15-488A-8E38-525046B26415}" name="Column1" dataDxfId="11" totalsRowDxfId="10"/>
    <tableColumn id="3" xr3:uid="{59036732-6E2F-422C-A5F0-5227FA8E0095}" name="Fragrance" dataDxfId="9" totalsRowDxfId="8"/>
    <tableColumn id="5" xr3:uid="{807D9575-6914-4DD8-9526-FE157CB02E1C}" name="Fragrance2" dataDxfId="7"/>
    <tableColumn id="9" xr3:uid="{55E00A9F-9250-4067-AB3A-95B522F1B1C7}" name="Fragrance3" dataDxfId="6"/>
    <tableColumn id="10" xr3:uid="{8C9581E3-BE0F-471D-94DF-4C5F8AFEE9CF}" name="Fragrance4" dataDxfId="5"/>
    <tableColumn id="11" xr3:uid="{15FE84FE-6B8A-41F8-8C96-334145537748}" name="Fragrance5" dataDxfId="4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0E958A-6DDE-4DDA-B4CC-F7EE8D4C3013}" name="Table2" displayName="Table2" ref="A1:K8" totalsRowShown="0" headerRowDxfId="3">
  <autoFilter ref="A1:K8" xr:uid="{A00E958A-6DDE-4DDA-B4CC-F7EE8D4C301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261FF86A-C375-4295-B862-090BCB563C9D}" name="Opearls Floral &amp; Events"/>
    <tableColumn id="2" xr3:uid="{C4CCB949-FB59-4B8B-9B17-78F47A430E26}" name="Column1"/>
    <tableColumn id="3" xr3:uid="{423CDF31-8041-452B-B9CD-A6ABACC5B010}" name="CleaPatra"/>
    <tableColumn id="4" xr3:uid="{C77E4B81-5CCC-4820-BAEB-18A59B5A60F8}" name="Column4"/>
    <tableColumn id="5" xr3:uid="{52F20E50-C984-483D-AC50-2F4903805885}" name="Column5"/>
    <tableColumn id="6" xr3:uid="{4F3CF7B2-2CCF-407B-9700-46FA8351423F}" name="Column6"/>
    <tableColumn id="7" xr3:uid="{F217E356-9221-45B6-99B6-2E9A6F84AB08}" name="Column7" dataDxfId="2"/>
    <tableColumn id="8" xr3:uid="{12651F5E-E7CF-4246-87F4-8B3621E92984}" name="Column8"/>
    <tableColumn id="9" xr3:uid="{2B978E65-A78A-493A-ABBF-C667C539EDEB}" name="Column9" dataDxfId="1"/>
    <tableColumn id="10" xr3:uid="{40381E3A-EC2B-4B3A-A706-3C494810568A}" name="Column10"/>
    <tableColumn id="11" xr3:uid="{C9485DD7-6C15-4E9C-B6D9-DFF3EDE6C0F8}" name="Column11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EF615-8B5D-4C24-A5AF-10374C57FEED}">
  <sheetPr codeName="Sheet2"/>
  <dimension ref="A1:K56"/>
  <sheetViews>
    <sheetView tabSelected="1" workbookViewId="0">
      <selection activeCell="B4" sqref="B4"/>
    </sheetView>
    <sheetView tabSelected="1" zoomScale="60" zoomScaleNormal="60" workbookViewId="1">
      <selection activeCell="C6" sqref="C6"/>
    </sheetView>
  </sheetViews>
  <sheetFormatPr defaultRowHeight="15" x14ac:dyDescent="0.25"/>
  <cols>
    <col min="1" max="1" width="22.140625" bestFit="1" customWidth="1"/>
    <col min="2" max="2" width="9.28515625" bestFit="1" customWidth="1"/>
    <col min="3" max="4" width="22.28515625" bestFit="1" customWidth="1"/>
    <col min="5" max="5" width="23.28515625" bestFit="1" customWidth="1"/>
    <col min="6" max="6" width="23" bestFit="1" customWidth="1"/>
    <col min="7" max="7" width="35.7109375" bestFit="1" customWidth="1"/>
    <col min="8" max="8" width="15.5703125" bestFit="1" customWidth="1"/>
    <col min="9" max="9" width="9.28515625" bestFit="1" customWidth="1"/>
    <col min="10" max="10" width="10.28515625" bestFit="1" customWidth="1"/>
    <col min="11" max="11" width="39.7109375" bestFit="1" customWidth="1"/>
    <col min="12" max="12" width="23.5703125" bestFit="1" customWidth="1"/>
    <col min="13" max="16" width="9.28515625" bestFit="1" customWidth="1"/>
    <col min="17" max="19" width="10.28515625" bestFit="1" customWidth="1"/>
    <col min="20" max="21" width="9.28515625" bestFit="1" customWidth="1"/>
    <col min="22" max="25" width="10.28515625" bestFit="1" customWidth="1"/>
  </cols>
  <sheetData>
    <row r="1" spans="1:11" x14ac:dyDescent="0.25">
      <c r="A1" s="8" t="s">
        <v>37</v>
      </c>
      <c r="B1" s="25" t="s">
        <v>13</v>
      </c>
      <c r="C1" s="8" t="s">
        <v>46</v>
      </c>
      <c r="D1" s="25" t="s">
        <v>14</v>
      </c>
      <c r="E1" s="25" t="s">
        <v>24</v>
      </c>
      <c r="F1" s="25" t="s">
        <v>25</v>
      </c>
      <c r="G1" s="25" t="s">
        <v>26</v>
      </c>
      <c r="H1" s="25" t="s">
        <v>27</v>
      </c>
      <c r="I1" s="25" t="s">
        <v>28</v>
      </c>
      <c r="J1" s="25" t="s">
        <v>39</v>
      </c>
      <c r="K1" s="25" t="s">
        <v>40</v>
      </c>
    </row>
    <row r="2" spans="1:11" x14ac:dyDescent="0.25">
      <c r="A2" s="2" t="s">
        <v>16</v>
      </c>
      <c r="B2" s="2"/>
      <c r="C2" s="2" t="s">
        <v>18</v>
      </c>
      <c r="D2" s="2" t="s">
        <v>41</v>
      </c>
      <c r="E2" s="2"/>
      <c r="F2" s="2"/>
      <c r="G2" s="13"/>
      <c r="H2" s="2" t="s">
        <v>38</v>
      </c>
      <c r="I2" s="1"/>
      <c r="K2" s="1"/>
    </row>
    <row r="3" spans="1:11" ht="15.75" thickBot="1" x14ac:dyDescent="0.3">
      <c r="A3" s="3" t="s">
        <v>47</v>
      </c>
      <c r="B3" s="3" t="s">
        <v>1</v>
      </c>
      <c r="C3" s="3" t="s">
        <v>19</v>
      </c>
      <c r="D3" s="12" t="s">
        <v>0</v>
      </c>
      <c r="E3" s="12" t="s">
        <v>1</v>
      </c>
      <c r="F3" t="s">
        <v>20</v>
      </c>
      <c r="G3" s="11" t="s">
        <v>42</v>
      </c>
      <c r="H3" s="3" t="s">
        <v>0</v>
      </c>
      <c r="I3" s="11" t="s">
        <v>1</v>
      </c>
      <c r="J3" s="3" t="s">
        <v>20</v>
      </c>
      <c r="K3" s="11" t="s">
        <v>43</v>
      </c>
    </row>
    <row r="4" spans="1:11" x14ac:dyDescent="0.25">
      <c r="A4">
        <v>20</v>
      </c>
      <c r="B4">
        <v>800</v>
      </c>
      <c r="C4">
        <v>2</v>
      </c>
      <c r="D4" s="4" t="s">
        <v>15</v>
      </c>
      <c r="E4" s="6">
        <v>200</v>
      </c>
      <c r="F4" s="3" t="s">
        <v>21</v>
      </c>
      <c r="G4" s="1">
        <f>SUM(E4*C4)</f>
        <v>400</v>
      </c>
      <c r="H4" t="s">
        <v>2</v>
      </c>
      <c r="I4" s="1">
        <v>300</v>
      </c>
      <c r="J4" t="s">
        <v>22</v>
      </c>
      <c r="K4" s="1">
        <f>SUM(I4*C4)</f>
        <v>600</v>
      </c>
    </row>
    <row r="5" spans="1:11" x14ac:dyDescent="0.25">
      <c r="D5" s="5" t="s">
        <v>2</v>
      </c>
      <c r="E5" s="7">
        <v>230</v>
      </c>
      <c r="F5" t="s">
        <v>22</v>
      </c>
      <c r="G5" s="1">
        <f>SUM(E5*C4)</f>
        <v>460</v>
      </c>
      <c r="H5" t="s">
        <v>3</v>
      </c>
      <c r="I5" s="1">
        <v>450</v>
      </c>
      <c r="J5" t="s">
        <v>23</v>
      </c>
      <c r="K5" s="1">
        <f>SUM(I5*C4)</f>
        <v>900</v>
      </c>
    </row>
    <row r="6" spans="1:11" x14ac:dyDescent="0.25">
      <c r="D6" s="4" t="s">
        <v>3</v>
      </c>
      <c r="E6" s="6">
        <v>330</v>
      </c>
      <c r="F6" t="s">
        <v>23</v>
      </c>
      <c r="G6" s="1">
        <f>SUM(E6*C4)</f>
        <v>660</v>
      </c>
      <c r="I6" s="1"/>
      <c r="K6" s="1"/>
    </row>
    <row r="7" spans="1:11" x14ac:dyDescent="0.25">
      <c r="G7" s="1" t="s">
        <v>48</v>
      </c>
      <c r="I7" s="1"/>
      <c r="K7" s="1" t="s">
        <v>48</v>
      </c>
    </row>
    <row r="8" spans="1:11" x14ac:dyDescent="0.25">
      <c r="G8" s="1">
        <f>SUM(B4,E4)</f>
        <v>1000</v>
      </c>
      <c r="I8" s="1"/>
      <c r="K8" s="1">
        <f>SUM(K4:K5)</f>
        <v>1500</v>
      </c>
    </row>
    <row r="10" spans="1:11" x14ac:dyDescent="0.25">
      <c r="A10" s="9" t="s">
        <v>4</v>
      </c>
      <c r="B10" s="24" t="s">
        <v>13</v>
      </c>
      <c r="C10" s="14" t="s">
        <v>17</v>
      </c>
      <c r="D10" s="24" t="s">
        <v>29</v>
      </c>
      <c r="E10" s="24" t="s">
        <v>30</v>
      </c>
      <c r="F10" s="24" t="s">
        <v>31</v>
      </c>
      <c r="G10" s="24" t="s">
        <v>49</v>
      </c>
    </row>
    <row r="11" spans="1:11" s="2" customFormat="1" x14ac:dyDescent="0.25">
      <c r="A11" s="26" t="s">
        <v>7</v>
      </c>
      <c r="B11" s="26" t="s">
        <v>1</v>
      </c>
      <c r="C11" s="26" t="s">
        <v>32</v>
      </c>
      <c r="D11" s="27" t="s">
        <v>33</v>
      </c>
      <c r="E11" s="27" t="s">
        <v>34</v>
      </c>
      <c r="F11" s="26" t="s">
        <v>36</v>
      </c>
      <c r="G11" s="26" t="s">
        <v>35</v>
      </c>
    </row>
    <row r="12" spans="1:11" x14ac:dyDescent="0.25">
      <c r="A12" s="1">
        <v>20</v>
      </c>
      <c r="B12" s="1">
        <v>750</v>
      </c>
      <c r="C12" s="1">
        <f t="shared" ref="C12:C18" si="0">SUM(B12,$E$4*2)</f>
        <v>1150</v>
      </c>
      <c r="D12" s="15">
        <f t="shared" ref="D12:D18" si="1">SUM(B12,$E$5*2)</f>
        <v>1210</v>
      </c>
      <c r="E12" s="1">
        <f t="shared" ref="E12:E18" si="2">SUM(B12+$E$6*2)</f>
        <v>1410</v>
      </c>
      <c r="F12" s="1">
        <f t="shared" ref="F12:F18" si="3">SUM(B12,$I$4*2)</f>
        <v>1350</v>
      </c>
      <c r="G12" s="1">
        <f t="shared" ref="G12:G18" si="4">SUM(B12,$I$5*2)</f>
        <v>1650</v>
      </c>
    </row>
    <row r="13" spans="1:11" x14ac:dyDescent="0.25">
      <c r="A13" s="1">
        <v>40</v>
      </c>
      <c r="B13" s="1">
        <v>950</v>
      </c>
      <c r="C13" s="1">
        <f t="shared" si="0"/>
        <v>1350</v>
      </c>
      <c r="D13" s="16">
        <f t="shared" si="1"/>
        <v>1410</v>
      </c>
      <c r="E13" s="1">
        <f t="shared" si="2"/>
        <v>1610</v>
      </c>
      <c r="F13" s="1">
        <f t="shared" si="3"/>
        <v>1550</v>
      </c>
      <c r="G13" s="1">
        <f t="shared" si="4"/>
        <v>1850</v>
      </c>
    </row>
    <row r="14" spans="1:11" x14ac:dyDescent="0.25">
      <c r="A14" s="1">
        <v>50</v>
      </c>
      <c r="B14" s="1">
        <v>1250</v>
      </c>
      <c r="C14" s="1">
        <f t="shared" si="0"/>
        <v>1650</v>
      </c>
      <c r="D14" s="15">
        <f t="shared" si="1"/>
        <v>1710</v>
      </c>
      <c r="E14" s="1">
        <f t="shared" si="2"/>
        <v>1910</v>
      </c>
      <c r="F14" s="1">
        <f t="shared" si="3"/>
        <v>1850</v>
      </c>
      <c r="G14" s="1">
        <f t="shared" si="4"/>
        <v>2150</v>
      </c>
    </row>
    <row r="15" spans="1:11" x14ac:dyDescent="0.25">
      <c r="A15" s="1">
        <v>70</v>
      </c>
      <c r="B15" s="1">
        <v>1450</v>
      </c>
      <c r="C15" s="1">
        <f t="shared" si="0"/>
        <v>1850</v>
      </c>
      <c r="D15" s="16">
        <f t="shared" si="1"/>
        <v>1910</v>
      </c>
      <c r="E15" s="1">
        <f t="shared" si="2"/>
        <v>2110</v>
      </c>
      <c r="F15" s="1">
        <f t="shared" si="3"/>
        <v>2050</v>
      </c>
      <c r="G15" s="1">
        <f t="shared" si="4"/>
        <v>2350</v>
      </c>
    </row>
    <row r="16" spans="1:11" x14ac:dyDescent="0.25">
      <c r="A16" s="1">
        <v>100</v>
      </c>
      <c r="B16" s="1">
        <v>2300</v>
      </c>
      <c r="C16" s="1">
        <f t="shared" si="0"/>
        <v>2700</v>
      </c>
      <c r="D16" s="15">
        <f t="shared" si="1"/>
        <v>2760</v>
      </c>
      <c r="E16" s="1">
        <f t="shared" si="2"/>
        <v>2960</v>
      </c>
      <c r="F16" s="1">
        <f t="shared" si="3"/>
        <v>2900</v>
      </c>
      <c r="G16" s="1">
        <f t="shared" si="4"/>
        <v>3200</v>
      </c>
    </row>
    <row r="17" spans="1:7" x14ac:dyDescent="0.25">
      <c r="A17" s="1">
        <v>150</v>
      </c>
      <c r="B17" s="1">
        <v>3600</v>
      </c>
      <c r="C17" s="1">
        <f t="shared" si="0"/>
        <v>4000</v>
      </c>
      <c r="D17" s="16">
        <f t="shared" si="1"/>
        <v>4060</v>
      </c>
      <c r="E17" s="1">
        <f t="shared" si="2"/>
        <v>4260</v>
      </c>
      <c r="F17" s="1">
        <f t="shared" si="3"/>
        <v>4200</v>
      </c>
      <c r="G17" s="1">
        <f t="shared" si="4"/>
        <v>4500</v>
      </c>
    </row>
    <row r="18" spans="1:7" x14ac:dyDescent="0.25">
      <c r="A18" s="1">
        <v>200</v>
      </c>
      <c r="B18" s="1">
        <v>4800</v>
      </c>
      <c r="C18" s="1">
        <f t="shared" si="0"/>
        <v>5200</v>
      </c>
      <c r="D18" s="15">
        <f t="shared" si="1"/>
        <v>5260</v>
      </c>
      <c r="E18" s="1">
        <f t="shared" si="2"/>
        <v>5460</v>
      </c>
      <c r="F18" s="1">
        <f t="shared" si="3"/>
        <v>5400</v>
      </c>
      <c r="G18" s="1">
        <f t="shared" si="4"/>
        <v>5700</v>
      </c>
    </row>
    <row r="19" spans="1:7" x14ac:dyDescent="0.25">
      <c r="A19" s="1"/>
      <c r="B19" s="13" t="s">
        <v>44</v>
      </c>
      <c r="C19" s="13" t="s">
        <v>44</v>
      </c>
      <c r="D19" s="17" t="s">
        <v>44</v>
      </c>
      <c r="E19" s="13" t="s">
        <v>44</v>
      </c>
      <c r="F19" s="13" t="s">
        <v>44</v>
      </c>
      <c r="G19" s="13" t="s">
        <v>44</v>
      </c>
    </row>
    <row r="20" spans="1:7" s="29" customFormat="1" x14ac:dyDescent="0.25">
      <c r="A20" s="26"/>
      <c r="B20" s="26">
        <f t="shared" ref="B20:G20" si="5">SUM(B12:B18)</f>
        <v>15100</v>
      </c>
      <c r="C20" s="26">
        <f t="shared" si="5"/>
        <v>17900</v>
      </c>
      <c r="D20" s="28">
        <f t="shared" si="5"/>
        <v>18320</v>
      </c>
      <c r="E20" s="26">
        <f t="shared" si="5"/>
        <v>19720</v>
      </c>
      <c r="F20" s="26">
        <f t="shared" si="5"/>
        <v>19300</v>
      </c>
      <c r="G20" s="26">
        <f t="shared" si="5"/>
        <v>21400</v>
      </c>
    </row>
    <row r="21" spans="1:7" x14ac:dyDescent="0.25">
      <c r="A21" s="22"/>
      <c r="B21" s="22"/>
      <c r="C21" s="22"/>
      <c r="D21" s="22"/>
      <c r="E21" s="22"/>
      <c r="F21" s="22"/>
      <c r="G21" s="22"/>
    </row>
    <row r="22" spans="1:7" ht="15.75" thickBot="1" x14ac:dyDescent="0.3">
      <c r="A22" s="10" t="s">
        <v>5</v>
      </c>
      <c r="B22" s="1"/>
      <c r="C22" s="18" t="s">
        <v>17</v>
      </c>
      <c r="D22" s="1"/>
      <c r="E22" s="1"/>
      <c r="F22" s="1"/>
      <c r="G22" s="1"/>
    </row>
    <row r="23" spans="1:7" s="2" customFormat="1" x14ac:dyDescent="0.25">
      <c r="A23" s="27" t="s">
        <v>7</v>
      </c>
      <c r="B23" s="27" t="s">
        <v>1</v>
      </c>
      <c r="C23" s="28" t="s">
        <v>32</v>
      </c>
      <c r="D23" s="28" t="s">
        <v>33</v>
      </c>
      <c r="E23" s="28" t="s">
        <v>34</v>
      </c>
      <c r="F23" s="28" t="s">
        <v>36</v>
      </c>
      <c r="G23" s="28" t="s">
        <v>35</v>
      </c>
    </row>
    <row r="24" spans="1:7" x14ac:dyDescent="0.25">
      <c r="A24" s="15">
        <v>20</v>
      </c>
      <c r="B24" s="15">
        <v>800</v>
      </c>
      <c r="C24" s="20">
        <f t="shared" ref="C24:C30" si="6">SUM(B24,$E$4*2)</f>
        <v>1200</v>
      </c>
      <c r="D24" s="20">
        <f t="shared" ref="D24:D30" si="7">SUM(B24+$E$5*2)</f>
        <v>1260</v>
      </c>
      <c r="E24" s="20">
        <f t="shared" ref="E24:E30" si="8">SUM(B24+$E$6*2)</f>
        <v>1460</v>
      </c>
      <c r="F24" s="20">
        <f t="shared" ref="F24:F30" si="9">SUM(B24+$I$4*2)</f>
        <v>1400</v>
      </c>
      <c r="G24" s="20">
        <f t="shared" ref="G24:G30" si="10">SUM(B24+$I$5*2)</f>
        <v>1700</v>
      </c>
    </row>
    <row r="25" spans="1:7" x14ac:dyDescent="0.25">
      <c r="A25" s="16">
        <v>40</v>
      </c>
      <c r="B25" s="16">
        <v>1000</v>
      </c>
      <c r="C25" s="15">
        <f t="shared" si="6"/>
        <v>1400</v>
      </c>
      <c r="D25" s="15">
        <f t="shared" si="7"/>
        <v>1460</v>
      </c>
      <c r="E25" s="15">
        <f t="shared" si="8"/>
        <v>1660</v>
      </c>
      <c r="F25" s="15">
        <f t="shared" si="9"/>
        <v>1600</v>
      </c>
      <c r="G25" s="15">
        <f t="shared" si="10"/>
        <v>1900</v>
      </c>
    </row>
    <row r="26" spans="1:7" x14ac:dyDescent="0.25">
      <c r="A26" s="15">
        <v>50</v>
      </c>
      <c r="B26" s="15">
        <v>1300</v>
      </c>
      <c r="C26" s="20">
        <f t="shared" si="6"/>
        <v>1700</v>
      </c>
      <c r="D26" s="20">
        <f t="shared" si="7"/>
        <v>1760</v>
      </c>
      <c r="E26" s="20">
        <f t="shared" si="8"/>
        <v>1960</v>
      </c>
      <c r="F26" s="20">
        <f t="shared" si="9"/>
        <v>1900</v>
      </c>
      <c r="G26" s="20">
        <f t="shared" si="10"/>
        <v>2200</v>
      </c>
    </row>
    <row r="27" spans="1:7" x14ac:dyDescent="0.25">
      <c r="A27" s="16">
        <v>70</v>
      </c>
      <c r="B27" s="16">
        <v>1500</v>
      </c>
      <c r="C27" s="15">
        <f t="shared" si="6"/>
        <v>1900</v>
      </c>
      <c r="D27" s="15">
        <f t="shared" si="7"/>
        <v>1960</v>
      </c>
      <c r="E27" s="15">
        <f t="shared" si="8"/>
        <v>2160</v>
      </c>
      <c r="F27" s="15">
        <f t="shared" si="9"/>
        <v>2100</v>
      </c>
      <c r="G27" s="15">
        <f t="shared" si="10"/>
        <v>2400</v>
      </c>
    </row>
    <row r="28" spans="1:7" x14ac:dyDescent="0.25">
      <c r="A28" s="15">
        <v>100</v>
      </c>
      <c r="B28" s="15">
        <v>2500</v>
      </c>
      <c r="C28" s="20">
        <f t="shared" si="6"/>
        <v>2900</v>
      </c>
      <c r="D28" s="20">
        <f t="shared" si="7"/>
        <v>2960</v>
      </c>
      <c r="E28" s="20">
        <f t="shared" si="8"/>
        <v>3160</v>
      </c>
      <c r="F28" s="20">
        <f t="shared" si="9"/>
        <v>3100</v>
      </c>
      <c r="G28" s="20">
        <f t="shared" si="10"/>
        <v>3400</v>
      </c>
    </row>
    <row r="29" spans="1:7" x14ac:dyDescent="0.25">
      <c r="A29" s="16">
        <v>150</v>
      </c>
      <c r="B29" s="16">
        <v>3750</v>
      </c>
      <c r="C29" s="15">
        <f t="shared" si="6"/>
        <v>4150</v>
      </c>
      <c r="D29" s="15">
        <f t="shared" si="7"/>
        <v>4210</v>
      </c>
      <c r="E29" s="15">
        <f t="shared" si="8"/>
        <v>4410</v>
      </c>
      <c r="F29" s="15">
        <f t="shared" si="9"/>
        <v>4350</v>
      </c>
      <c r="G29" s="15">
        <f t="shared" si="10"/>
        <v>4650</v>
      </c>
    </row>
    <row r="30" spans="1:7" x14ac:dyDescent="0.25">
      <c r="A30" s="15">
        <v>200</v>
      </c>
      <c r="B30" s="15">
        <v>5000</v>
      </c>
      <c r="C30" s="20">
        <f t="shared" si="6"/>
        <v>5400</v>
      </c>
      <c r="D30" s="20">
        <f t="shared" si="7"/>
        <v>5460</v>
      </c>
      <c r="E30" s="20">
        <f t="shared" si="8"/>
        <v>5660</v>
      </c>
      <c r="F30" s="20">
        <f t="shared" si="9"/>
        <v>5600</v>
      </c>
      <c r="G30" s="20">
        <f t="shared" si="10"/>
        <v>5900</v>
      </c>
    </row>
    <row r="31" spans="1:7" x14ac:dyDescent="0.25">
      <c r="A31" s="1"/>
      <c r="B31" s="17" t="s">
        <v>44</v>
      </c>
      <c r="C31" s="19" t="s">
        <v>44</v>
      </c>
      <c r="D31" s="19" t="s">
        <v>44</v>
      </c>
      <c r="E31" s="19" t="s">
        <v>44</v>
      </c>
      <c r="F31" s="19" t="s">
        <v>44</v>
      </c>
      <c r="G31" s="19" t="s">
        <v>44</v>
      </c>
    </row>
    <row r="32" spans="1:7" s="29" customFormat="1" x14ac:dyDescent="0.25">
      <c r="A32" s="26"/>
      <c r="B32" s="28">
        <f t="shared" ref="B32:G32" si="11">SUM(B24:B30)</f>
        <v>15850</v>
      </c>
      <c r="C32" s="30">
        <f t="shared" si="11"/>
        <v>18650</v>
      </c>
      <c r="D32" s="30">
        <f t="shared" si="11"/>
        <v>19070</v>
      </c>
      <c r="E32" s="30">
        <f t="shared" si="11"/>
        <v>20470</v>
      </c>
      <c r="F32" s="30">
        <f t="shared" si="11"/>
        <v>20050</v>
      </c>
      <c r="G32" s="31">
        <f t="shared" si="11"/>
        <v>22150</v>
      </c>
    </row>
    <row r="33" spans="1:7" s="23" customFormat="1" x14ac:dyDescent="0.25">
      <c r="A33" s="22"/>
      <c r="B33" s="22"/>
      <c r="C33" s="22"/>
      <c r="D33" s="22"/>
      <c r="E33" s="22"/>
      <c r="F33" s="22"/>
      <c r="G33" s="22"/>
    </row>
    <row r="34" spans="1:7" ht="15.75" thickBot="1" x14ac:dyDescent="0.3">
      <c r="A34" s="10" t="s">
        <v>45</v>
      </c>
      <c r="B34" s="1"/>
      <c r="C34" s="18" t="s">
        <v>17</v>
      </c>
      <c r="D34" s="1"/>
      <c r="E34" s="1"/>
      <c r="F34" s="1"/>
      <c r="G34" s="1"/>
    </row>
    <row r="35" spans="1:7" s="2" customFormat="1" x14ac:dyDescent="0.25">
      <c r="A35" s="27" t="s">
        <v>7</v>
      </c>
      <c r="B35" s="27" t="s">
        <v>1</v>
      </c>
      <c r="C35" s="28" t="s">
        <v>32</v>
      </c>
      <c r="D35" s="28" t="s">
        <v>33</v>
      </c>
      <c r="E35" s="28" t="s">
        <v>34</v>
      </c>
      <c r="F35" s="28" t="s">
        <v>36</v>
      </c>
      <c r="G35" s="28" t="s">
        <v>35</v>
      </c>
    </row>
    <row r="36" spans="1:7" x14ac:dyDescent="0.25">
      <c r="A36" s="15" t="s">
        <v>8</v>
      </c>
      <c r="B36" s="15">
        <v>800</v>
      </c>
      <c r="C36" s="20">
        <f>SUM(B36,$E$4*2)</f>
        <v>1200</v>
      </c>
      <c r="D36" s="20">
        <f>SUM(B36+$E$5*2)</f>
        <v>1260</v>
      </c>
      <c r="E36" s="20">
        <f>SUM(B36+$E$6*2)</f>
        <v>1460</v>
      </c>
      <c r="F36" s="20">
        <f>SUM(B36+$I$4*2)</f>
        <v>1400</v>
      </c>
      <c r="G36" s="20">
        <f>SUM(B36+$I$5*2)</f>
        <v>1700</v>
      </c>
    </row>
    <row r="37" spans="1:7" x14ac:dyDescent="0.25">
      <c r="A37" s="16" t="s">
        <v>9</v>
      </c>
      <c r="B37" s="16">
        <v>1350</v>
      </c>
      <c r="C37" s="15">
        <f>SUM(B37,$E$4*2)</f>
        <v>1750</v>
      </c>
      <c r="D37" s="15">
        <f>SUM(B37+$E$5*2)</f>
        <v>1810</v>
      </c>
      <c r="E37" s="15">
        <f>SUM(B37+$E$6*2)</f>
        <v>2010</v>
      </c>
      <c r="F37" s="15">
        <f>SUM(B37+$I$4*2)</f>
        <v>1950</v>
      </c>
      <c r="G37" s="15">
        <f>SUM(B37+$I$5*2)</f>
        <v>2250</v>
      </c>
    </row>
    <row r="38" spans="1:7" x14ac:dyDescent="0.25">
      <c r="A38" s="15" t="s">
        <v>10</v>
      </c>
      <c r="B38" s="15">
        <v>1950</v>
      </c>
      <c r="C38" s="20">
        <f>SUM(B38,$E$4*2)</f>
        <v>2350</v>
      </c>
      <c r="D38" s="20">
        <f>SUM(B38+$E$5*2)</f>
        <v>2410</v>
      </c>
      <c r="E38" s="20">
        <f>SUM(B38+$E$6*2)</f>
        <v>2610</v>
      </c>
      <c r="F38" s="20">
        <f>SUM(B38+$I$4*2)</f>
        <v>2550</v>
      </c>
      <c r="G38" s="20">
        <f>SUM(B38+$I$5*2)</f>
        <v>2850</v>
      </c>
    </row>
    <row r="39" spans="1:7" x14ac:dyDescent="0.25">
      <c r="A39" s="16"/>
      <c r="B39" s="16"/>
      <c r="C39" s="15"/>
      <c r="D39" s="15"/>
      <c r="E39" s="15"/>
      <c r="F39" s="15"/>
      <c r="G39" s="15"/>
    </row>
    <row r="40" spans="1:7" x14ac:dyDescent="0.25">
      <c r="A40" s="15"/>
      <c r="B40" s="15"/>
      <c r="C40" s="20"/>
      <c r="D40" s="20"/>
      <c r="E40" s="20"/>
      <c r="F40" s="20"/>
      <c r="G40" s="20"/>
    </row>
    <row r="41" spans="1:7" x14ac:dyDescent="0.25">
      <c r="A41" s="16"/>
      <c r="B41" s="16"/>
      <c r="C41" s="15"/>
      <c r="D41" s="15"/>
      <c r="E41" s="15"/>
      <c r="F41" s="15"/>
      <c r="G41" s="15"/>
    </row>
    <row r="42" spans="1:7" x14ac:dyDescent="0.25">
      <c r="A42" s="15"/>
      <c r="B42" s="15"/>
      <c r="C42" s="20"/>
      <c r="D42" s="20"/>
      <c r="E42" s="20"/>
      <c r="F42" s="20"/>
      <c r="G42" s="20"/>
    </row>
    <row r="43" spans="1:7" x14ac:dyDescent="0.25">
      <c r="A43" s="1"/>
      <c r="B43" s="17" t="s">
        <v>44</v>
      </c>
      <c r="C43" s="19" t="s">
        <v>44</v>
      </c>
      <c r="D43" s="19" t="s">
        <v>44</v>
      </c>
      <c r="E43" s="19" t="s">
        <v>44</v>
      </c>
      <c r="F43" s="19" t="s">
        <v>44</v>
      </c>
      <c r="G43" s="19" t="s">
        <v>44</v>
      </c>
    </row>
    <row r="44" spans="1:7" s="29" customFormat="1" x14ac:dyDescent="0.25">
      <c r="A44" s="26"/>
      <c r="B44" s="28">
        <f t="shared" ref="B44:G44" si="12">SUM(B36:B42)</f>
        <v>4100</v>
      </c>
      <c r="C44" s="30">
        <f t="shared" si="12"/>
        <v>5300</v>
      </c>
      <c r="D44" s="30">
        <f t="shared" si="12"/>
        <v>5480</v>
      </c>
      <c r="E44" s="30">
        <f t="shared" si="12"/>
        <v>6080</v>
      </c>
      <c r="F44" s="30">
        <f t="shared" si="12"/>
        <v>5900</v>
      </c>
      <c r="G44" s="31">
        <f t="shared" si="12"/>
        <v>6800</v>
      </c>
    </row>
    <row r="45" spans="1:7" x14ac:dyDescent="0.25">
      <c r="A45" s="22"/>
      <c r="B45" s="22"/>
      <c r="C45" s="22"/>
      <c r="D45" s="22"/>
      <c r="E45" s="22"/>
      <c r="F45" s="22"/>
      <c r="G45" s="22"/>
    </row>
    <row r="46" spans="1:7" ht="15.75" thickBot="1" x14ac:dyDescent="0.3">
      <c r="A46" s="10" t="s">
        <v>6</v>
      </c>
      <c r="B46" s="1"/>
      <c r="C46" s="18" t="s">
        <v>17</v>
      </c>
      <c r="D46" s="1"/>
      <c r="E46" s="1"/>
      <c r="F46" s="1"/>
      <c r="G46" s="1"/>
    </row>
    <row r="47" spans="1:7" s="2" customFormat="1" x14ac:dyDescent="0.25">
      <c r="A47" s="27" t="s">
        <v>7</v>
      </c>
      <c r="B47" s="27" t="s">
        <v>1</v>
      </c>
      <c r="C47" s="28" t="s">
        <v>32</v>
      </c>
      <c r="D47" s="28" t="s">
        <v>33</v>
      </c>
      <c r="E47" s="28" t="s">
        <v>34</v>
      </c>
      <c r="F47" s="28" t="s">
        <v>36</v>
      </c>
      <c r="G47" s="28" t="s">
        <v>35</v>
      </c>
    </row>
    <row r="48" spans="1:7" x14ac:dyDescent="0.25">
      <c r="A48" s="15" t="s">
        <v>11</v>
      </c>
      <c r="B48" s="15">
        <v>700</v>
      </c>
      <c r="C48" s="20">
        <f>SUM(B48,$E$4*2)</f>
        <v>1100</v>
      </c>
      <c r="D48" s="20">
        <f>SUM(B48+$E$5*2)</f>
        <v>1160</v>
      </c>
      <c r="E48" s="20">
        <f>SUM(B48+$E$6*2)</f>
        <v>1360</v>
      </c>
      <c r="F48" s="20">
        <f>SUM(B48+$I$4*2)</f>
        <v>1300</v>
      </c>
      <c r="G48" s="20">
        <f>SUM(B48+$I$5*2)</f>
        <v>1600</v>
      </c>
    </row>
    <row r="49" spans="1:7" x14ac:dyDescent="0.25">
      <c r="A49" s="16" t="s">
        <v>12</v>
      </c>
      <c r="B49" s="16">
        <v>750</v>
      </c>
      <c r="C49" s="15">
        <f>SUM(B49,$E$4*2)</f>
        <v>1150</v>
      </c>
      <c r="D49" s="15">
        <f>SUM(B49+$E$5*2)</f>
        <v>1210</v>
      </c>
      <c r="E49" s="15">
        <f>SUM(B49+$E$6*2)</f>
        <v>1410</v>
      </c>
      <c r="F49" s="15">
        <f>SUM(B49+$I$4*2)</f>
        <v>1350</v>
      </c>
      <c r="G49" s="15">
        <f>SUM(B49+$I$5*2)</f>
        <v>1650</v>
      </c>
    </row>
    <row r="50" spans="1:7" x14ac:dyDescent="0.25">
      <c r="A50" s="15"/>
      <c r="B50" s="21"/>
      <c r="C50" s="20"/>
      <c r="D50" s="20"/>
      <c r="E50" s="20"/>
      <c r="F50" s="20"/>
      <c r="G50" s="20"/>
    </row>
    <row r="51" spans="1:7" x14ac:dyDescent="0.25">
      <c r="A51" s="16"/>
      <c r="B51" s="16"/>
      <c r="C51" s="15"/>
      <c r="D51" s="15"/>
      <c r="E51" s="15"/>
      <c r="F51" s="15"/>
      <c r="G51" s="15"/>
    </row>
    <row r="52" spans="1:7" x14ac:dyDescent="0.25">
      <c r="A52" s="15"/>
      <c r="B52" s="15"/>
      <c r="C52" s="20"/>
      <c r="D52" s="20"/>
      <c r="E52" s="20"/>
      <c r="F52" s="20"/>
      <c r="G52" s="20"/>
    </row>
    <row r="53" spans="1:7" x14ac:dyDescent="0.25">
      <c r="A53" s="16"/>
      <c r="B53" s="16"/>
      <c r="C53" s="15"/>
      <c r="D53" s="15"/>
      <c r="E53" s="15"/>
      <c r="F53" s="15"/>
      <c r="G53" s="15"/>
    </row>
    <row r="54" spans="1:7" x14ac:dyDescent="0.25">
      <c r="A54" s="15"/>
      <c r="B54" s="15"/>
      <c r="C54" s="20"/>
      <c r="D54" s="20"/>
      <c r="E54" s="20"/>
      <c r="F54" s="20"/>
      <c r="G54" s="20"/>
    </row>
    <row r="55" spans="1:7" x14ac:dyDescent="0.25">
      <c r="A55" s="1"/>
      <c r="B55" s="17" t="s">
        <v>44</v>
      </c>
      <c r="C55" s="19" t="s">
        <v>44</v>
      </c>
      <c r="D55" s="19" t="s">
        <v>44</v>
      </c>
      <c r="E55" s="19" t="s">
        <v>44</v>
      </c>
      <c r="F55" s="19" t="s">
        <v>44</v>
      </c>
      <c r="G55" s="19" t="s">
        <v>44</v>
      </c>
    </row>
    <row r="56" spans="1:7" s="29" customFormat="1" x14ac:dyDescent="0.25">
      <c r="A56" s="26"/>
      <c r="B56" s="28">
        <f t="shared" ref="B56:G56" si="13">SUM(B48:B54)</f>
        <v>1450</v>
      </c>
      <c r="C56" s="30">
        <f t="shared" si="13"/>
        <v>2250</v>
      </c>
      <c r="D56" s="30">
        <f t="shared" si="13"/>
        <v>2370</v>
      </c>
      <c r="E56" s="30">
        <f t="shared" si="13"/>
        <v>2770</v>
      </c>
      <c r="F56" s="30">
        <f t="shared" si="13"/>
        <v>2650</v>
      </c>
      <c r="G56" s="31">
        <f t="shared" si="13"/>
        <v>3250</v>
      </c>
    </row>
  </sheetData>
  <phoneticPr fontId="5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Finance(O &amp; 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mjbestylinnit@gmail.com</dc:creator>
  <cp:lastModifiedBy>mjbestylinnit@gmail.com</cp:lastModifiedBy>
  <dcterms:created xsi:type="dcterms:W3CDTF">2026-02-16T18:04:16Z</dcterms:created>
  <dcterms:modified xsi:type="dcterms:W3CDTF">2026-03-06T21:32:32Z</dcterms:modified>
</cp:coreProperties>
</file>